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Meals" sheetId="3" state="visible" r:id="rId3"/>
    <sheet xmlns:r="http://schemas.openxmlformats.org/officeDocument/2006/relationships" name="Meal_Usage" sheetId="4" state="visible" r:id="rId4"/>
    <sheet xmlns:r="http://schemas.openxmlformats.org/officeDocument/2006/relationships" name="Waste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5" customWidth="1" min="4" max="4"/>
    <col width="20" customWidth="1" min="5" max="5"/>
    <col width="20" customWidth="1" min="6" max="6"/>
    <col width="14" customWidth="1" min="7" max="7"/>
    <col width="10" customWidth="1" min="8" max="8"/>
    <col width="12" customWidth="1" min="9" max="9"/>
    <col width="10" customWidth="1" min="10" max="10"/>
  </cols>
  <sheetData>
    <row r="1">
      <c r="A1" s="1" t="inlineStr">
        <is>
          <t>Trip_ID</t>
        </is>
      </c>
      <c r="B1" s="1" t="inlineStr">
        <is>
          <t>Batch_ID</t>
        </is>
      </c>
      <c r="C1" s="1" t="inlineStr">
        <is>
          <t>Date</t>
        </is>
      </c>
      <c r="D1" s="1" t="inlineStr">
        <is>
          <t>Store</t>
        </is>
      </c>
      <c r="E1" s="1" t="inlineStr">
        <is>
          <t>Item</t>
        </is>
      </c>
      <c r="F1" s="1" t="inlineStr">
        <is>
          <t>Brand_Notes</t>
        </is>
      </c>
      <c r="G1" s="1" t="inlineStr">
        <is>
          <t>Qty_Purchased</t>
        </is>
      </c>
      <c r="H1" s="1" t="inlineStr">
        <is>
          <t>Unit</t>
        </is>
      </c>
      <c r="I1" s="1" t="inlineStr">
        <is>
          <t>Total_Price</t>
        </is>
      </c>
      <c r="J1" s="1" t="inlineStr">
        <is>
          <t>Unit_Cost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5" customWidth="1" min="4" max="4"/>
    <col width="14" customWidth="1" min="5" max="5"/>
    <col width="10" customWidth="1" min="6" max="6"/>
    <col width="10" customWidth="1" min="7" max="7"/>
    <col width="14" customWidth="1" min="8" max="8"/>
    <col width="12" customWidth="1" min="9" max="9"/>
    <col width="10" customWidth="1" min="10" max="10"/>
    <col width="25" customWidth="1" min="11" max="11"/>
  </cols>
  <sheetData>
    <row r="1">
      <c r="A1" s="1" t="inlineStr">
        <is>
          <t>Batch_ID</t>
        </is>
      </c>
      <c r="B1" s="1" t="inlineStr">
        <is>
          <t>Item</t>
        </is>
      </c>
      <c r="C1" s="1" t="inlineStr">
        <is>
          <t>Date_Purchased</t>
        </is>
      </c>
      <c r="D1" s="1" t="inlineStr">
        <is>
          <t>Store</t>
        </is>
      </c>
      <c r="E1" s="1" t="inlineStr">
        <is>
          <t>Qty_Purchased</t>
        </is>
      </c>
      <c r="F1" s="1" t="inlineStr">
        <is>
          <t>Unit</t>
        </is>
      </c>
      <c r="G1" s="1" t="inlineStr">
        <is>
          <t>Unit_Cost</t>
        </is>
      </c>
      <c r="H1" s="1" t="inlineStr">
        <is>
          <t>Qty_Remaining</t>
        </is>
      </c>
      <c r="I1" s="1" t="inlineStr">
        <is>
          <t>Status</t>
        </is>
      </c>
      <c r="J1" s="1" t="inlineStr">
        <is>
          <t>Fuzzy_Item</t>
        </is>
      </c>
      <c r="K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5" customWidth="1" min="4" max="4"/>
    <col width="14" customWidth="1" min="5" max="5"/>
    <col width="14" customWidth="1" min="6" max="6"/>
    <col width="25" customWidth="1" min="7" max="7"/>
  </cols>
  <sheetData>
    <row r="1">
      <c r="A1" s="1" t="inlineStr">
        <is>
          <t>Meal_ID</t>
        </is>
      </c>
      <c r="B1" s="1" t="inlineStr">
        <is>
          <t>Date</t>
        </is>
      </c>
      <c r="C1" s="1" t="inlineStr">
        <is>
          <t>Meal_Type</t>
        </is>
      </c>
      <c r="D1" s="1" t="inlineStr">
        <is>
          <t>Description</t>
        </is>
      </c>
      <c r="E1" s="1" t="inlineStr">
        <is>
          <t>Confirmed_Cost</t>
        </is>
      </c>
      <c r="F1" s="1" t="inlineStr">
        <is>
          <t>Fuzzy_Pending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4" customWidth="1" min="4" max="4"/>
    <col width="10" customWidth="1" min="5" max="5"/>
    <col width="12" customWidth="1" min="6" max="6"/>
    <col width="10" customWidth="1" min="7" max="7"/>
    <col width="25" customWidth="1" min="8" max="8"/>
  </cols>
  <sheetData>
    <row r="1">
      <c r="A1" s="1" t="inlineStr">
        <is>
          <t>Meal_ID</t>
        </is>
      </c>
      <c r="B1" s="1" t="inlineStr">
        <is>
          <t>Batch_ID</t>
        </is>
      </c>
      <c r="C1" s="1" t="inlineStr">
        <is>
          <t>Item</t>
        </is>
      </c>
      <c r="D1" s="1" t="inlineStr">
        <is>
          <t>Inferred_Qty</t>
        </is>
      </c>
      <c r="E1" s="1" t="inlineStr">
        <is>
          <t>Unit</t>
        </is>
      </c>
      <c r="F1" s="1" t="inlineStr">
        <is>
          <t>Cost_Share</t>
        </is>
      </c>
      <c r="G1" s="1" t="inlineStr">
        <is>
          <t>Fuzzy</t>
        </is>
      </c>
      <c r="H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8" customWidth="1" min="8" max="8"/>
    <col width="30" customWidth="1" min="9" max="9"/>
  </cols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Batch_ID</t>
        </is>
      </c>
      <c r="D1" s="1" t="inlineStr">
        <is>
          <t>Qty_Wasted</t>
        </is>
      </c>
      <c r="E1" s="1" t="inlineStr">
        <is>
          <t>Unit</t>
        </is>
      </c>
      <c r="F1" s="1" t="inlineStr">
        <is>
          <t>Unit_Cost</t>
        </is>
      </c>
      <c r="G1" s="1" t="inlineStr">
        <is>
          <t>Waste_Value</t>
        </is>
      </c>
      <c r="H1" s="1" t="inlineStr">
        <is>
          <t>Reason</t>
        </is>
      </c>
      <c r="I1" s="1" t="inlineStr">
        <is>
          <t>Raw_Statement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6" customWidth="1" min="4" max="4"/>
    <col width="10" customWidth="1" min="5" max="5"/>
    <col width="12" customWidth="1" min="6" max="6"/>
    <col width="14" customWidth="1" min="7" max="7"/>
    <col width="16" customWidth="1" min="8" max="8"/>
    <col width="25" customWidth="1" min="9" max="9"/>
  </cols>
  <sheetData>
    <row r="1">
      <c r="A1" s="1" t="inlineStr">
        <is>
          <t>Batch_ID</t>
        </is>
      </c>
      <c r="B1" s="1" t="inlineStr">
        <is>
          <t>Item</t>
        </is>
      </c>
      <c r="C1" s="1" t="inlineStr">
        <is>
          <t>Status</t>
        </is>
      </c>
      <c r="D1" s="1" t="inlineStr">
        <is>
          <t>Batch_Total_Cost</t>
        </is>
      </c>
      <c r="E1" s="1" t="inlineStr">
        <is>
          <t>Batch_Qty</t>
        </is>
      </c>
      <c r="F1" s="1" t="inlineStr">
        <is>
          <t>Meal_Count</t>
        </is>
      </c>
      <c r="G1" s="1" t="inlineStr">
        <is>
          <t>Cost_Per_Meal</t>
        </is>
      </c>
      <c r="H1" s="1" t="inlineStr">
        <is>
          <t>Reconciled_Date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5" customWidth="1" min="3" max="3"/>
  </cols>
  <sheetData>
    <row r="1">
      <c r="A1" s="1" t="inlineStr">
        <is>
          <t>Stat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total_spent</t>
        </is>
      </c>
      <c r="B2">
        <f>SUM(Purchases.I:I)</f>
        <v/>
      </c>
      <c r="C2" t="inlineStr">
        <is>
          <t>Cumulative grocery spend</t>
        </is>
      </c>
    </row>
    <row r="3">
      <c r="A3" t="inlineStr">
        <is>
          <t>total_meals_logged</t>
        </is>
      </c>
      <c r="B3">
        <f>COUNTA(Meals.A2:A10000)-COUNTBLANK(Meals.A2:A10000)</f>
        <v/>
      </c>
      <c r="C3" t="inlineStr">
        <is>
          <t>Count of logged meals</t>
        </is>
      </c>
    </row>
    <row r="4">
      <c r="A4" t="inlineStr">
        <is>
          <t>avg_cost_per_meal</t>
        </is>
      </c>
      <c r="B4">
        <f>IFERROR(AVERAGE(Meals.E:E),0)</f>
        <v/>
      </c>
      <c r="C4" t="inlineStr">
        <is>
          <t>Rolling average cost across all meals</t>
        </is>
      </c>
    </row>
    <row r="5">
      <c r="A5" t="inlineStr">
        <is>
          <t>avg_cost_breakfast</t>
        </is>
      </c>
      <c r="B5">
        <f>IFERROR(AVERAGEIF(Meals.C:C,"Breakfast",Meals.E:E),0)</f>
        <v/>
      </c>
      <c r="C5" t="inlineStr">
        <is>
          <t>Avg cost for breakfast meals</t>
        </is>
      </c>
    </row>
    <row r="6">
      <c r="A6" t="inlineStr">
        <is>
          <t>avg_cost_lunch</t>
        </is>
      </c>
      <c r="B6">
        <f>IFERROR(AVERAGEIF(Meals.C:C,"Lunch",Meals.E:E),0)</f>
        <v/>
      </c>
      <c r="C6" t="inlineStr">
        <is>
          <t>Avg cost for lunch meals</t>
        </is>
      </c>
    </row>
    <row r="7">
      <c r="A7" t="inlineStr">
        <is>
          <t>avg_cost_dinner</t>
        </is>
      </c>
      <c r="B7">
        <f>IFERROR(AVERAGEIF(Meals.C:C,"Dinner",Meals.E:E),0)</f>
        <v/>
      </c>
      <c r="C7" t="inlineStr">
        <is>
          <t>Avg cost for dinner meals</t>
        </is>
      </c>
    </row>
    <row r="8">
      <c r="A8" t="inlineStr">
        <is>
          <t>total_waste_dollars</t>
        </is>
      </c>
      <c r="B8">
        <f>SUM(Waste.G:G)</f>
        <v/>
      </c>
      <c r="C8" t="inlineStr">
        <is>
          <t>Cumulative waste in dollars</t>
        </is>
      </c>
    </row>
    <row r="9">
      <c r="A9" t="inlineStr">
        <is>
          <t>waste_pct</t>
        </is>
      </c>
      <c r="B9">
        <f>IFERROR(Dashboard.B7/Dashboard.B2,0)</f>
        <v/>
      </c>
      <c r="C9" t="inlineStr">
        <is>
          <t>Waste as % of total spend</t>
        </is>
      </c>
    </row>
    <row r="10">
      <c r="A10" t="inlineStr">
        <is>
          <t>total_trips</t>
        </is>
      </c>
      <c r="B10">
        <f>COUNTA(Purchases.A:A)-COUNTBLANK(Purchases.A:A)-1</f>
        <v/>
      </c>
      <c r="C10" t="inlineStr">
        <is>
          <t>Number of distinct grocery trips (approx, dedupe manually)</t>
        </is>
      </c>
    </row>
    <row r="11">
      <c r="A11" t="inlineStr">
        <is>
          <t>avg_spend_per_trip</t>
        </is>
      </c>
      <c r="B11">
        <f>IFERROR(Dashboard.B2/Dashboard.B9,0)</f>
        <v/>
      </c>
      <c r="C11" t="inlineStr">
        <is>
          <t>Average receipt total per trip</t>
        </is>
      </c>
    </row>
    <row r="12">
      <c r="A12" t="inlineStr">
        <is>
          <t>meals_per_grocery_trip</t>
        </is>
      </c>
      <c r="B12">
        <f>IFERROR(Dashboard.B3/Dashboard.B9,0)</f>
        <v/>
      </c>
      <c r="C12" t="inlineStr">
        <is>
          <t>Meals consumed per trip window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2026-07-14T03:48:37Z</dcterms:created>
  <dcterms:modified xmlns:dcterms="http://purl.org/dc/terms/" xmlns:xsi="http://www.w3.org/2001/XMLSchema-instance" xsi:type="dcterms:W3CDTF">2026-07-14T03:48:37Z</dcterms:modified>
</cp:coreProperties>
</file>